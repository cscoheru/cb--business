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2580"/>
  </bookViews>
  <sheets>
    <sheet name="Sheet2" sheetId="3" r:id="rId1"/>
    <sheet name="Sheet1" sheetId="1" r:id="rId2"/>
    <sheet name="Sheet1 (2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<sst xmlns="http://schemas.openxmlformats.org/spreadsheetml/2006/main" count="126" uniqueCount="93">
  <si>
    <t>合作定位：敏捷共创与专业伴飞</t>
  </si>
  <si>
    <r>
      <rPr>
        <sz val="12"/>
        <color rgb="FF000000"/>
        <rFont val="宋体-简"/>
        <charset val="204"/>
      </rPr>
      <t>1.本项目由国窖团队主导，外部老师作为知识顾问全程伴飞，顾问不替代业务人员输出具体内容（不排除），提供</t>
    </r>
    <r>
      <rPr>
        <sz val="12"/>
        <color rgb="FF000000"/>
        <rFont val="Arial"/>
        <charset val="204"/>
      </rPr>
      <t>“</t>
    </r>
    <r>
      <rPr>
        <sz val="12"/>
        <color rgb="FF000000"/>
        <rFont val="宋体-简"/>
        <charset val="204"/>
      </rPr>
      <t>方法论框架</t>
    </r>
    <r>
      <rPr>
        <sz val="12"/>
        <color rgb="FF000000"/>
        <rFont val="Arial"/>
        <charset val="204"/>
      </rPr>
      <t xml:space="preserve"> + </t>
    </r>
    <r>
      <rPr>
        <sz val="12"/>
        <color rgb="FF000000"/>
        <rFont val="宋体-简"/>
        <charset val="204"/>
      </rPr>
      <t>现场逻辑引导</t>
    </r>
    <r>
      <rPr>
        <sz val="12"/>
        <color rgb="FF000000"/>
        <rFont val="Arial"/>
        <charset val="204"/>
      </rPr>
      <t xml:space="preserve"> + </t>
    </r>
    <r>
      <rPr>
        <sz val="12"/>
        <color rgb="FF000000"/>
        <rFont val="宋体-简"/>
        <charset val="204"/>
      </rPr>
      <t>标杆打样</t>
    </r>
    <r>
      <rPr>
        <sz val="12"/>
        <color rgb="FF000000"/>
        <rFont val="Arial"/>
        <charset val="204"/>
      </rPr>
      <t xml:space="preserve"> + </t>
    </r>
    <r>
      <rPr>
        <sz val="12"/>
        <color rgb="FF000000"/>
        <rFont val="宋体-简"/>
        <charset val="204"/>
      </rPr>
      <t>成果质控“服务；
2.具体支持方式将保持敏捷性，根据每次工作坊的实际业务反馈和需求的动态变化，灵活调整研讨工具与工作策略，与内部团队结成“共创团队”，共同为最终的体系可用性负责。</t>
    </r>
  </si>
  <si>
    <t>项目阶段</t>
  </si>
  <si>
    <t>项目节点</t>
  </si>
  <si>
    <t>外部顾问支持</t>
  </si>
  <si>
    <r>
      <rPr>
        <b/>
        <sz val="14"/>
        <color rgb="FFFFFFFF"/>
        <rFont val="宋体-简"/>
        <charset val="204"/>
      </rPr>
      <t>交付物</t>
    </r>
    <r>
      <rPr>
        <b/>
        <sz val="14"/>
        <color rgb="FFFFFFFF"/>
        <rFont val="Arial"/>
        <charset val="204"/>
      </rPr>
      <t>/</t>
    </r>
    <r>
      <rPr>
        <b/>
        <sz val="14"/>
        <color rgb="FFFFFFFF"/>
        <rFont val="宋体-简"/>
        <charset val="204"/>
      </rPr>
      <t>成果体现</t>
    </r>
  </si>
  <si>
    <t>人天估算</t>
  </si>
  <si>
    <t>阶段一：场景树构建与标准共识(3.16-4.10)</t>
  </si>
  <si>
    <t>启动与0.5版梳理(宣贯与小工作坊)</t>
  </si>
  <si>
    <t>1. 认知拉齐与标准赋能： 在启动会上，做主题发言</t>
  </si>
  <si>
    <t>1. 启动会《强业务场景下的按需学习思考》主题分享（约30分钟）</t>
  </si>
  <si>
    <t>2. 框架引导： 参与小工作坊，基于预设框架，结合现场反馈，引导构建L1-L2的骨架</t>
  </si>
  <si>
    <t>2. 参与研讨《场景树0.5版》，提供持续反馈</t>
  </si>
  <si>
    <t>输入与验证</t>
  </si>
  <si>
    <t>3. 验证：部分核心业务访谈验证+业务总验证+上级公司验证，开展线上线下调研访谈（根据需要参与）</t>
  </si>
  <si>
    <t>3.调研访谈的分析提炼（如参与）及其对成果的讨论</t>
  </si>
  <si>
    <t>1.0版研讨与验证(大工作坊与汇报)</t>
  </si>
  <si>
    <t>4. 现场引导： 提供整体方法和逻辑链路，以及类似“MOT关键时刻”的筛选规则，防止业务场景陷入“大而无当”或“碎如流水账”的极端</t>
  </si>
  <si>
    <t>4. 现场研讨引导与方向校准</t>
  </si>
  <si>
    <t>5. 逻辑把控： 协助梳理1.0版架构逻辑，确保高质量输出主要成果和汇报材料</t>
  </si>
  <si>
    <t>5. 助力输出高质量《全链路场景树1.0版》</t>
  </si>
  <si>
    <t>6. 大区总访谈验证+业务总验证+上级公司验证，线上线下调研访谈</t>
  </si>
  <si>
    <t>6.结合调研求证对成果进行修正优化</t>
  </si>
  <si>
    <t>阶段二：基于能力知识映射下的标签提取(4.15-4.30)</t>
  </si>
  <si>
    <t>给场景打标签与归类</t>
  </si>
  <si>
    <t>7. 分类与标签逻辑建议： 提供具有前瞻性（便于检索和未来知识管理AI应用）的标签框架思路，指导内部团队如何给场景贴标签</t>
  </si>
  <si>
    <t>7. 标签逻辑方法指导下的标签词典</t>
  </si>
  <si>
    <t>8. 成果讨论、优化： 对产出的场景标签进行分析研判，从归因、逻辑、匹配度提出意见，完善标签词典</t>
  </si>
  <si>
    <t>成果验证与汇报</t>
  </si>
  <si>
    <t>阶段三：试跑验证与延伸规划(5月及以后)</t>
  </si>
  <si>
    <t>平台试跑与复盘(闯关测试)</t>
  </si>
  <si>
    <t>9. 试跑机制建议： 对“闯关试跑”的题目设计、通关逻辑提供外部视角的优化建议，确保测试能真实反映业务场景</t>
  </si>
  <si>
    <t>8. 试跑方案的专业建议</t>
  </si>
  <si>
    <t>10. 迭代复盘： 参与试跑后的复盘会，分析痛点，提出改进意见</t>
  </si>
  <si>
    <t>9. 阶段性复盘会议支持</t>
  </si>
  <si>
    <t>后期运营与发展</t>
  </si>
  <si>
    <t>11. 延伸规划：场景-标签逻辑跑通后，为下一步的“场景-标签-资源-学习“闭环，知识管理数字化”以及其他岗位提供支持</t>
  </si>
  <si>
    <t>待定</t>
  </si>
  <si>
    <t>【项目整体费用预估】</t>
  </si>
  <si>
    <r>
      <rPr>
        <sz val="14"/>
        <color rgb="FF000000"/>
        <rFont val="宋体-简"/>
        <charset val="204"/>
      </rPr>
      <t>专家咨询与伴飞支持总包：</t>
    </r>
    <r>
      <rPr>
        <b/>
        <sz val="14"/>
        <color rgb="FF000000"/>
        <rFont val="Arial Bold"/>
        <charset val="204"/>
      </rPr>
      <t xml:space="preserve">120,000 </t>
    </r>
    <r>
      <rPr>
        <sz val="14"/>
        <color rgb="FF000000"/>
        <rFont val="宋体-简"/>
        <charset val="204"/>
      </rPr>
      <t>元（注：采用项目制总包计费，而非按天打卡。覆盖从3月中旬至5月的完整周期，包含前置行业研究、各阶段现场工作坊、关键节点的案头评审，以及项目后期的延伸计划服务。预计投入总投入等效约25个工作日）（报价含差旅）</t>
    </r>
  </si>
  <si>
    <r>
      <rPr>
        <b/>
        <sz val="11"/>
        <rFont val="SimSun"/>
        <charset val="134"/>
      </rPr>
      <t>时间</t>
    </r>
  </si>
  <si>
    <r>
      <rPr>
        <b/>
        <sz val="11"/>
        <rFont val="SimSun"/>
        <charset val="134"/>
      </rPr>
      <t>事项</t>
    </r>
  </si>
  <si>
    <r>
      <rPr>
        <b/>
        <sz val="11"/>
        <rFont val="SimSun"/>
        <charset val="134"/>
      </rPr>
      <t>具体内容</t>
    </r>
  </si>
  <si>
    <r>
      <rPr>
        <b/>
        <sz val="11"/>
        <rFont val="SimSun"/>
        <charset val="134"/>
      </rPr>
      <t>形式</t>
    </r>
  </si>
  <si>
    <t>外部（人天）</t>
  </si>
  <si>
    <r>
      <rPr>
        <b/>
        <sz val="11"/>
        <rFont val="SimSun"/>
        <charset val="134"/>
      </rPr>
      <t>外部专家核心支持需求</t>
    </r>
  </si>
  <si>
    <r>
      <rPr>
        <sz val="11"/>
        <rFont val="SimSun"/>
        <charset val="134"/>
      </rPr>
      <t>组建核心团队</t>
    </r>
  </si>
  <si>
    <r>
      <rPr>
        <sz val="11"/>
        <rFont val="SimSun"/>
        <charset val="134"/>
      </rPr>
      <t>确定成员：与业务部门共同确认团队成员</t>
    </r>
  </si>
  <si>
    <r>
      <rPr>
        <sz val="11"/>
        <rFont val="SimSun"/>
        <charset val="134"/>
      </rPr>
      <t>与渠道管理部线下会议</t>
    </r>
  </si>
  <si>
    <r>
      <rPr>
        <sz val="11"/>
        <rFont val="SimSun"/>
        <charset val="134"/>
      </rPr>
      <t>3.16-18（</t>
    </r>
    <r>
      <rPr>
        <sz val="11"/>
        <color rgb="FFFF0000"/>
        <rFont val="SimSun"/>
        <charset val="134"/>
      </rPr>
      <t>18-19号有其他安排）</t>
    </r>
  </si>
  <si>
    <t>项目启动会：宣贯方案、共识输出目标、梳理计划</t>
  </si>
  <si>
    <r>
      <rPr>
        <sz val="11"/>
        <rFont val="SimSun"/>
        <charset val="134"/>
      </rPr>
      <t>项目组线下会议</t>
    </r>
  </si>
  <si>
    <r>
      <rPr>
        <b/>
        <sz val="11"/>
        <rFont val="SimSun"/>
        <charset val="134"/>
      </rPr>
      <t>挑</t>
    </r>
    <r>
      <rPr>
        <sz val="11"/>
        <rFont val="SimSun"/>
        <charset val="134"/>
      </rPr>
      <t xml:space="preserve">  </t>
    </r>
    <r>
      <rPr>
        <b/>
        <sz val="11"/>
        <rFont val="SimSun"/>
        <charset val="134"/>
      </rPr>
      <t>战</t>
    </r>
    <r>
      <rPr>
        <sz val="11"/>
        <rFont val="SimSun"/>
        <charset val="134"/>
      </rPr>
      <t xml:space="preserve">：专业认知、场景定义及标准共识
</t>
    </r>
    <r>
      <rPr>
        <b/>
        <sz val="11"/>
        <rFont val="SimSun"/>
        <charset val="134"/>
      </rPr>
      <t>支持需求：</t>
    </r>
    <r>
      <rPr>
        <sz val="11"/>
        <rFont val="SimSun"/>
        <charset val="134"/>
      </rPr>
      <t>赋能思路+组建场景标准(共识)+挑战预告</t>
    </r>
  </si>
  <si>
    <r>
      <rPr>
        <sz val="11"/>
        <rFont val="SimSun"/>
        <charset val="134"/>
      </rPr>
      <t>构建场景树0.5版</t>
    </r>
  </si>
  <si>
    <r>
      <rPr>
        <sz val="11"/>
        <rFont val="SimSun"/>
        <charset val="134"/>
      </rPr>
      <t>梳理：核心团队开展场景树梳理，具体到第2-3层</t>
    </r>
  </si>
  <si>
    <r>
      <rPr>
        <sz val="11"/>
        <rFont val="SimSun"/>
        <charset val="134"/>
      </rPr>
      <t>小工作坊</t>
    </r>
  </si>
  <si>
    <r>
      <rPr>
        <b/>
        <sz val="11"/>
        <rFont val="SimSun"/>
        <charset val="134"/>
      </rPr>
      <t>挑战：</t>
    </r>
    <r>
      <rPr>
        <sz val="11"/>
        <rFont val="SimSun"/>
        <charset val="134"/>
      </rPr>
      <t xml:space="preserve">首次尝试业务知识架构搭建，架构搭建的层级标准和
</t>
    </r>
    <r>
      <rPr>
        <sz val="11"/>
        <rFont val="SimSun"/>
        <charset val="134"/>
      </rPr>
      <t xml:space="preserve">知识内容的深度把握难
</t>
    </r>
    <r>
      <rPr>
        <b/>
        <sz val="11"/>
        <rFont val="SimSun"/>
        <charset val="134"/>
      </rPr>
      <t>支持需求：</t>
    </r>
    <r>
      <rPr>
        <sz val="11"/>
        <rFont val="SimSun"/>
        <charset val="134"/>
      </rPr>
      <t xml:space="preserve">外部专家：现场引导，在架构搭建标准、方法、
</t>
    </r>
    <r>
      <rPr>
        <sz val="11"/>
        <rFont val="SimSun"/>
        <charset val="134"/>
      </rPr>
      <t xml:space="preserve">工具给予赋能，在输出内容形式/颗粒度上给与专业指导
</t>
    </r>
    <r>
      <rPr>
        <sz val="11"/>
        <rFont val="SimSun"/>
        <charset val="134"/>
      </rPr>
      <t>(把控)</t>
    </r>
  </si>
  <si>
    <t>验证：部分核心业务访谈验证+业务总验证+上级公司验证</t>
  </si>
  <si>
    <t>电话访谈
线下汇报</t>
  </si>
  <si>
    <r>
      <rPr>
        <sz val="11"/>
        <rFont val="SimSun"/>
        <charset val="134"/>
      </rPr>
      <t>4.01-03</t>
    </r>
  </si>
  <si>
    <r>
      <rPr>
        <sz val="11"/>
        <rFont val="SimSun"/>
        <charset val="134"/>
      </rPr>
      <t>构建场景树1.0版</t>
    </r>
  </si>
  <si>
    <r>
      <rPr>
        <sz val="11"/>
        <rFont val="SimSun"/>
        <charset val="134"/>
      </rPr>
      <t xml:space="preserve">梳理：核心团队+核心业务(结合业绩排名筛选),按主题分组，梳
</t>
    </r>
    <r>
      <rPr>
        <sz val="11"/>
        <rFont val="SimSun"/>
        <charset val="134"/>
      </rPr>
      <t>理到最底层场景</t>
    </r>
  </si>
  <si>
    <r>
      <rPr>
        <sz val="11"/>
        <rFont val="SimSun"/>
        <charset val="134"/>
      </rPr>
      <t>大工作坊</t>
    </r>
  </si>
  <si>
    <r>
      <rPr>
        <sz val="11"/>
        <rFont val="SimSun"/>
        <charset val="134"/>
      </rPr>
      <t>筛选：标记当前有价值/核心挑战场景</t>
    </r>
  </si>
  <si>
    <t>验证：大区总访谈验证+业务总验证+上级公司验证</t>
  </si>
  <si>
    <r>
      <rPr>
        <sz val="11"/>
        <rFont val="SimSun"/>
        <charset val="134"/>
      </rPr>
      <t xml:space="preserve">电话访谈
</t>
    </r>
    <r>
      <rPr>
        <sz val="11"/>
        <rFont val="SimSun"/>
        <charset val="134"/>
      </rPr>
      <t>线下汇报</t>
    </r>
  </si>
  <si>
    <r>
      <rPr>
        <sz val="11"/>
        <rFont val="SimSun"/>
        <charset val="134"/>
      </rPr>
      <t>组建专家组</t>
    </r>
  </si>
  <si>
    <r>
      <rPr>
        <sz val="11"/>
        <rFont val="SimSun"/>
        <charset val="134"/>
      </rPr>
      <t xml:space="preserve">确认成员：根据业务规划+场景筛选，明确第一步要建设的场景链
</t>
    </r>
    <r>
      <rPr>
        <sz val="11"/>
        <rFont val="SimSun"/>
        <charset val="134"/>
      </rPr>
      <t>路，并匹配人员(核心团队+新增人员)</t>
    </r>
  </si>
  <si>
    <r>
      <rPr>
        <sz val="11"/>
        <rFont val="SimSun"/>
        <charset val="134"/>
      </rPr>
      <t>线下会议</t>
    </r>
  </si>
  <si>
    <r>
      <rPr>
        <sz val="11"/>
        <rFont val="SimSun"/>
        <charset val="134"/>
      </rPr>
      <t>知识地图第一版输出</t>
    </r>
  </si>
  <si>
    <r>
      <rPr>
        <sz val="11"/>
        <rFont val="SimSun"/>
        <charset val="134"/>
      </rPr>
      <t>场景输出：宣贯方案、讲解场景树、赋能场景萃取赋能(现场)</t>
    </r>
  </si>
  <si>
    <r>
      <rPr>
        <sz val="11"/>
        <rFont val="SimSun"/>
        <charset val="134"/>
      </rPr>
      <t>工作坊</t>
    </r>
  </si>
  <si>
    <r>
      <rPr>
        <b/>
        <sz val="11"/>
        <rFont val="SimSun"/>
        <charset val="134"/>
      </rPr>
      <t>挑</t>
    </r>
    <r>
      <rPr>
        <sz val="11"/>
        <rFont val="SimSun"/>
        <charset val="134"/>
      </rPr>
      <t xml:space="preserve">   </t>
    </r>
    <r>
      <rPr>
        <b/>
        <sz val="11"/>
        <rFont val="SimSun"/>
        <charset val="134"/>
      </rPr>
      <t>战：</t>
    </r>
    <r>
      <rPr>
        <sz val="11"/>
        <rFont val="SimSun"/>
        <charset val="134"/>
      </rPr>
      <t xml:space="preserve">经验萃取及整理能力不足、输出模式模糊
</t>
    </r>
    <r>
      <rPr>
        <b/>
        <sz val="11"/>
        <rFont val="SimSun"/>
        <charset val="134"/>
      </rPr>
      <t>支持需求：</t>
    </r>
    <r>
      <rPr>
        <sz val="11"/>
        <rFont val="SimSun"/>
        <charset val="134"/>
      </rPr>
      <t xml:space="preserve">萃取技能赋能(现场演练)+输出模式赋能(比
</t>
    </r>
    <r>
      <rPr>
        <sz val="11"/>
        <rFont val="SimSun"/>
        <charset val="134"/>
      </rPr>
      <t>如方法论+示例话术?)</t>
    </r>
  </si>
  <si>
    <r>
      <rPr>
        <sz val="11"/>
        <rFont val="SimSun"/>
        <charset val="134"/>
      </rPr>
      <t>场景知识搭建：场景下的类型标签（</t>
    </r>
    <r>
      <rPr>
        <sz val="11"/>
        <color rgb="FFFF0000"/>
        <rFont val="SimSun"/>
        <charset val="134"/>
      </rPr>
      <t>从场景到知识技能，ksa要进行分解、标签化，现场工作坊难以太小颗粒度-知识技能要分层次、分类、标签要归类，量大，需要案头工作</t>
    </r>
    <r>
      <rPr>
        <sz val="11"/>
        <rFont val="SimSun"/>
        <charset val="134"/>
      </rPr>
      <t>）</t>
    </r>
  </si>
  <si>
    <t>？</t>
  </si>
  <si>
    <r>
      <rPr>
        <sz val="11"/>
        <rFont val="SimSun"/>
        <charset val="134"/>
      </rPr>
      <t>5 月</t>
    </r>
  </si>
  <si>
    <r>
      <rPr>
        <sz val="11"/>
        <rFont val="SimSun"/>
        <charset val="134"/>
      </rPr>
      <t>上线试跑（</t>
    </r>
    <r>
      <rPr>
        <sz val="11"/>
        <color rgb="FFFF0000"/>
        <rFont val="SimSun"/>
        <charset val="134"/>
      </rPr>
      <t>这一块工作是否需要细化？</t>
    </r>
    <r>
      <rPr>
        <sz val="11"/>
        <rFont val="SimSun"/>
        <charset val="134"/>
      </rPr>
      <t>）</t>
    </r>
  </si>
  <si>
    <r>
      <rPr>
        <sz val="11"/>
        <rFont val="SimSun"/>
        <charset val="134"/>
      </rPr>
      <t>上线知识管理平台+开展第一期闯关试跑（</t>
    </r>
    <r>
      <rPr>
        <sz val="11"/>
        <color rgb="FFFF0000"/>
        <rFont val="SimSun"/>
        <charset val="134"/>
      </rPr>
      <t>知识技能如何匹配学习资源，学习资源要不要定义、设计、上传和开发？</t>
    </r>
    <r>
      <rPr>
        <sz val="11"/>
        <rFont val="SimSun"/>
        <charset val="134"/>
      </rPr>
      <t>）</t>
    </r>
  </si>
  <si>
    <r>
      <rPr>
        <sz val="11"/>
        <rFont val="SimSun"/>
        <charset val="134"/>
      </rPr>
      <t>线上+线下</t>
    </r>
  </si>
  <si>
    <r>
      <rPr>
        <b/>
        <sz val="11"/>
        <rFont val="SimSun"/>
        <charset val="134"/>
      </rPr>
      <t>支持需求：</t>
    </r>
    <r>
      <rPr>
        <sz val="11"/>
        <rFont val="SimSun"/>
        <charset val="134"/>
      </rPr>
      <t>优化建议+运营建议</t>
    </r>
  </si>
  <si>
    <t>total</t>
  </si>
  <si>
    <t>时间</t>
  </si>
  <si>
    <t>事项</t>
  </si>
  <si>
    <t>具体内容</t>
  </si>
  <si>
    <t>形式</t>
  </si>
  <si>
    <t>工作内容</t>
  </si>
  <si>
    <t>外部顾问（人天）</t>
  </si>
  <si>
    <t>外部专家核心支持需求</t>
  </si>
  <si>
    <t>3.16-18</t>
  </si>
  <si>
    <r>
      <rPr>
        <sz val="11"/>
        <rFont val="SimSun"/>
        <charset val="134"/>
      </rPr>
      <t>项目启动会：宣贯方案、共识输出目标、梳理计划</t>
    </r>
  </si>
  <si>
    <r>
      <rPr>
        <sz val="11"/>
        <rFont val="SimSun"/>
        <charset val="134"/>
      </rPr>
      <t>验证：部分核心业务访谈验证+业务总验证+上级公司验证</t>
    </r>
  </si>
  <si>
    <r>
      <rPr>
        <sz val="11"/>
        <rFont val="SimSun"/>
        <charset val="134"/>
      </rPr>
      <t>验证：大区总访谈验证+业务总验证+上级公司验证</t>
    </r>
  </si>
  <si>
    <r>
      <rPr>
        <b/>
        <sz val="11"/>
        <rFont val="SimSun"/>
        <charset val="134"/>
      </rPr>
      <t>挑战：</t>
    </r>
    <r>
      <rPr>
        <sz val="11"/>
        <rFont val="SimSun"/>
        <charset val="134"/>
      </rPr>
      <t xml:space="preserve">经验萃取及整理能力不足、输出模式模糊
</t>
    </r>
    <r>
      <rPr>
        <b/>
        <sz val="11"/>
        <rFont val="SimSun"/>
        <charset val="134"/>
      </rPr>
      <t>支持需求：</t>
    </r>
    <r>
      <rPr>
        <sz val="11"/>
        <rFont val="SimSun"/>
        <charset val="134"/>
      </rPr>
      <t>萃取技能赋能(现场演练)+输出模式赋能(比
如方法论+示例话术?)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</si>
</sst>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2"/>
      <name val="SimSun"/>
      <charset val="134"/>
    </font>
    <font>
      <b/>
      <sz val="12"/>
      <color rgb="FF000000"/>
      <name val="宋体-简"/>
      <charset val="134"/>
    </font>
    <font>
      <sz val="11"/>
      <color rgb="FF000000"/>
      <name val="Arial"/>
      <charset val="134"/>
    </font>
    <font>
      <sz val="11"/>
      <name val="SimSun"/>
      <charset val="134"/>
    </font>
    <font>
      <b/>
      <sz val="11"/>
      <name val="SimSun"/>
      <charset val="134"/>
    </font>
    <font>
      <sz val="11"/>
      <color rgb="FFFF0000"/>
      <name val="宋体-简"/>
      <charset val="204"/>
    </font>
    <font>
      <sz val="11"/>
      <color rgb="FFFF0000"/>
      <name val="SimSun"/>
      <charset val="134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b/>
      <sz val="14"/>
      <color rgb="FF000000"/>
      <name val="Arial"/>
      <charset val="204"/>
    </font>
    <font>
      <sz val="16"/>
      <color rgb="FF000000"/>
      <name val="Arial"/>
      <charset val="204"/>
    </font>
    <font>
      <sz val="20"/>
      <color rgb="FF000000"/>
      <name val="Arial"/>
      <charset val="204"/>
    </font>
    <font>
      <b/>
      <sz val="12"/>
      <color rgb="FF000000"/>
      <name val="宋体-简"/>
      <charset val="204"/>
    </font>
    <font>
      <sz val="12"/>
      <color rgb="FF000000"/>
      <name val="宋体-简"/>
      <charset val="204"/>
    </font>
    <font>
      <b/>
      <sz val="14"/>
      <color rgb="FFFFFFFF"/>
      <name val="宋体-简"/>
      <charset val="204"/>
    </font>
    <font>
      <b/>
      <sz val="12"/>
      <color rgb="FF000000"/>
      <name val="Songti SC Bold"/>
      <charset val="204"/>
    </font>
    <font>
      <sz val="12"/>
      <color rgb="FF000000"/>
      <name val="Songti SC Bold"/>
      <charset val="204"/>
    </font>
    <font>
      <sz val="12"/>
      <color rgb="FF000000"/>
      <name val="Arial"/>
      <charset val="204"/>
    </font>
    <font>
      <sz val="14"/>
      <color rgb="FF000000"/>
      <name val="宋体-简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FF"/>
      <name val="Arial"/>
      <charset val="204"/>
    </font>
    <font>
      <b/>
      <sz val="14"/>
      <color rgb="FF000000"/>
      <name val="Arial Bold"/>
      <charset val="20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auto="1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auto="1"/>
      </right>
      <top/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auto="1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auto="1"/>
      </right>
      <top style="thin">
        <color theme="4" tint="0.6"/>
      </top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2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5" applyNumberFormat="0" applyAlignment="0" applyProtection="0">
      <alignment vertical="center"/>
    </xf>
    <xf numFmtId="0" fontId="31" fillId="9" borderId="26" applyNumberFormat="0" applyAlignment="0" applyProtection="0">
      <alignment vertical="center"/>
    </xf>
    <xf numFmtId="0" fontId="32" fillId="9" borderId="25" applyNumberFormat="0" applyAlignment="0" applyProtection="0">
      <alignment vertical="center"/>
    </xf>
    <xf numFmtId="0" fontId="33" fillId="10" borderId="27" applyNumberFormat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65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15" fillId="4" borderId="0" xfId="0" applyFont="1" applyFill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left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19" fillId="6" borderId="16" xfId="0" applyFont="1" applyFill="1" applyBorder="1" applyAlignment="1">
      <alignment horizontal="left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left" vertical="center" wrapText="1"/>
    </xf>
    <xf numFmtId="0" fontId="20" fillId="4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9" defaultPivotStyle="PivotStyleLight16">
    <tableStyle name="中色系标题行镶边行表格样式_676304" count="10" xr9:uid="{05C8941B-F896-D6E0-4A87-B169CE0E6E09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"/>
  <sheetViews>
    <sheetView tabSelected="1" zoomScale="80" zoomScaleNormal="80" workbookViewId="0">
      <pane xSplit="2" ySplit="3" topLeftCell="C4" activePane="bottomRight" state="frozen"/>
      <selection/>
      <selection pane="topRight"/>
      <selection pane="bottomLeft"/>
      <selection pane="bottomRight" activeCell="G16" sqref="B1:G16"/>
    </sheetView>
  </sheetViews>
  <sheetFormatPr defaultColWidth="9" defaultRowHeight="28.8" outlineLevelCol="6"/>
  <cols>
    <col min="1" max="1" width="1.1328125" customWidth="1"/>
    <col min="2" max="2" width="13.6640625" style="29" customWidth="1"/>
    <col min="3" max="3" width="17.25" style="29" customWidth="1"/>
    <col min="4" max="4" width="96.390625" style="29" customWidth="1"/>
    <col min="5" max="5" width="0.7421875" style="29" customWidth="1"/>
    <col min="6" max="6" width="37.265625" style="29" customWidth="1"/>
    <col min="7" max="7" width="12.515625" style="29" customWidth="1"/>
  </cols>
  <sheetData>
    <row r="1" ht="47" customHeight="1" spans="2:7">
      <c r="B1" s="30" t="s">
        <v>0</v>
      </c>
      <c r="C1" s="30"/>
      <c r="D1" s="31" t="s">
        <v>1</v>
      </c>
      <c r="E1" s="31"/>
      <c r="F1" s="31"/>
      <c r="G1" s="31"/>
    </row>
    <row r="2" customFormat="1" ht="6" customHeight="1" spans="2:7">
      <c r="B2" s="32"/>
      <c r="C2" s="32"/>
      <c r="D2" s="33"/>
      <c r="E2" s="33"/>
      <c r="F2" s="33"/>
      <c r="G2" s="33"/>
    </row>
    <row r="3" s="27" customFormat="1" ht="33" customHeight="1" spans="2:7">
      <c r="B3" s="34" t="s">
        <v>2</v>
      </c>
      <c r="C3" s="35" t="s">
        <v>3</v>
      </c>
      <c r="D3" s="35" t="s">
        <v>4</v>
      </c>
      <c r="E3" s="36"/>
      <c r="F3" s="37" t="s">
        <v>5</v>
      </c>
      <c r="G3" s="36" t="s">
        <v>6</v>
      </c>
    </row>
    <row r="4" s="28" customFormat="1" ht="33" customHeight="1" spans="2:7">
      <c r="B4" s="38" t="s">
        <v>7</v>
      </c>
      <c r="C4" s="39" t="s">
        <v>8</v>
      </c>
      <c r="D4" s="40" t="s">
        <v>9</v>
      </c>
      <c r="E4" s="41"/>
      <c r="F4" s="42" t="s">
        <v>10</v>
      </c>
      <c r="G4" s="43">
        <v>5</v>
      </c>
    </row>
    <row r="5" s="28" customFormat="1" ht="33" customHeight="1" spans="2:7">
      <c r="B5" s="38"/>
      <c r="C5" s="44"/>
      <c r="D5" s="45" t="s">
        <v>11</v>
      </c>
      <c r="E5" s="46"/>
      <c r="F5" s="47" t="s">
        <v>12</v>
      </c>
      <c r="G5" s="43"/>
    </row>
    <row r="6" s="28" customFormat="1" ht="40" customHeight="1" spans="2:7">
      <c r="B6" s="38"/>
      <c r="C6" s="39" t="s">
        <v>13</v>
      </c>
      <c r="D6" s="45" t="s">
        <v>14</v>
      </c>
      <c r="E6" s="46"/>
      <c r="F6" s="47" t="s">
        <v>15</v>
      </c>
      <c r="G6" s="48"/>
    </row>
    <row r="7" s="28" customFormat="1" ht="40" customHeight="1" spans="2:7">
      <c r="B7" s="38"/>
      <c r="C7" s="49" t="s">
        <v>16</v>
      </c>
      <c r="D7" s="45" t="s">
        <v>17</v>
      </c>
      <c r="E7" s="46"/>
      <c r="F7" s="47" t="s">
        <v>18</v>
      </c>
      <c r="G7" s="50">
        <v>7</v>
      </c>
    </row>
    <row r="8" s="28" customFormat="1" ht="33" customHeight="1" spans="2:7">
      <c r="B8" s="38"/>
      <c r="C8" s="44"/>
      <c r="D8" s="45" t="s">
        <v>19</v>
      </c>
      <c r="E8" s="46"/>
      <c r="F8" s="47" t="s">
        <v>20</v>
      </c>
      <c r="G8" s="43"/>
    </row>
    <row r="9" s="28" customFormat="1" ht="33" customHeight="1" spans="2:7">
      <c r="B9" s="38"/>
      <c r="C9" s="39" t="s">
        <v>13</v>
      </c>
      <c r="D9" s="45" t="s">
        <v>21</v>
      </c>
      <c r="E9" s="46"/>
      <c r="F9" s="47" t="s">
        <v>22</v>
      </c>
      <c r="G9" s="48"/>
    </row>
    <row r="10" s="28" customFormat="1" ht="33" customHeight="1" spans="2:7">
      <c r="B10" s="51" t="s">
        <v>23</v>
      </c>
      <c r="C10" s="49" t="s">
        <v>24</v>
      </c>
      <c r="D10" s="45" t="s">
        <v>25</v>
      </c>
      <c r="E10" s="46"/>
      <c r="F10" s="52" t="s">
        <v>26</v>
      </c>
      <c r="G10" s="53">
        <v>8</v>
      </c>
    </row>
    <row r="11" s="28" customFormat="1" ht="33" customHeight="1" spans="2:7">
      <c r="B11" s="38"/>
      <c r="C11" s="44"/>
      <c r="D11" s="45" t="s">
        <v>27</v>
      </c>
      <c r="E11" s="46"/>
      <c r="F11" s="54"/>
      <c r="G11" s="55"/>
    </row>
    <row r="12" s="28" customFormat="1" ht="33" customHeight="1" spans="2:7">
      <c r="B12" s="38"/>
      <c r="C12" s="49"/>
      <c r="D12" s="45" t="s">
        <v>28</v>
      </c>
      <c r="E12" s="46"/>
      <c r="F12" s="42"/>
      <c r="G12" s="56"/>
    </row>
    <row r="13" s="28" customFormat="1" ht="33" customHeight="1" spans="2:7">
      <c r="B13" s="51" t="s">
        <v>29</v>
      </c>
      <c r="C13" s="49" t="s">
        <v>30</v>
      </c>
      <c r="D13" s="45" t="s">
        <v>31</v>
      </c>
      <c r="E13" s="46"/>
      <c r="F13" s="47" t="s">
        <v>32</v>
      </c>
      <c r="G13" s="50">
        <v>5</v>
      </c>
    </row>
    <row r="14" s="28" customFormat="1" ht="33" customHeight="1" spans="2:7">
      <c r="B14" s="38"/>
      <c r="C14" s="44"/>
      <c r="D14" s="45" t="s">
        <v>33</v>
      </c>
      <c r="E14" s="46"/>
      <c r="F14" s="47" t="s">
        <v>34</v>
      </c>
      <c r="G14" s="48"/>
    </row>
    <row r="15" s="28" customFormat="1" ht="33" customHeight="1" spans="2:7">
      <c r="B15" s="57"/>
      <c r="C15" s="58" t="s">
        <v>35</v>
      </c>
      <c r="D15" s="59" t="s">
        <v>36</v>
      </c>
      <c r="E15" s="60"/>
      <c r="F15" s="52" t="s">
        <v>37</v>
      </c>
      <c r="G15" s="61"/>
    </row>
    <row r="16" ht="46" customHeight="1" spans="2:7">
      <c r="B16" s="62" t="s">
        <v>38</v>
      </c>
      <c r="C16" s="63"/>
      <c r="D16" s="64" t="s">
        <v>39</v>
      </c>
      <c r="E16" s="64"/>
      <c r="F16" s="64"/>
      <c r="G16" s="64"/>
    </row>
  </sheetData>
  <mergeCells count="17">
    <mergeCell ref="B1:C1"/>
    <mergeCell ref="D1:G1"/>
    <mergeCell ref="D2:F2"/>
    <mergeCell ref="B16:C16"/>
    <mergeCell ref="D16:F16"/>
    <mergeCell ref="B4:B9"/>
    <mergeCell ref="B10:B12"/>
    <mergeCell ref="B13:B15"/>
    <mergeCell ref="C4:C5"/>
    <mergeCell ref="C7:C8"/>
    <mergeCell ref="C10:C11"/>
    <mergeCell ref="C13:C14"/>
    <mergeCell ref="F10:F12"/>
    <mergeCell ref="G4:G6"/>
    <mergeCell ref="G7:G9"/>
    <mergeCell ref="G10:G12"/>
    <mergeCell ref="G13:G1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04" zoomScaleNormal="104" workbookViewId="0">
      <selection activeCell="C14" sqref="C14"/>
    </sheetView>
  </sheetViews>
  <sheetFormatPr defaultColWidth="9" defaultRowHeight="16.8" outlineLevelCol="5"/>
  <cols>
    <col min="1" max="1" width="9.671875" customWidth="1"/>
    <col min="2" max="2" width="16.40625" customWidth="1"/>
    <col min="3" max="3" width="55.390625" customWidth="1"/>
    <col min="4" max="4" width="20.328125" customWidth="1"/>
    <col min="5" max="5" width="11.7265625" style="2" customWidth="1"/>
    <col min="6" max="6" width="51.78125" customWidth="1"/>
  </cols>
  <sheetData>
    <row r="1" ht="27" customHeight="1" spans="1:6">
      <c r="A1" s="20" t="s">
        <v>40</v>
      </c>
      <c r="B1" s="20" t="s">
        <v>41</v>
      </c>
      <c r="C1" s="20" t="s">
        <v>42</v>
      </c>
      <c r="D1" s="20" t="s">
        <v>43</v>
      </c>
      <c r="E1" s="20" t="s">
        <v>44</v>
      </c>
      <c r="F1" s="20" t="s">
        <v>45</v>
      </c>
    </row>
    <row r="2" ht="19.9" customHeight="1" spans="1:6">
      <c r="A2" s="21">
        <v>3.09</v>
      </c>
      <c r="B2" s="22" t="s">
        <v>46</v>
      </c>
      <c r="C2" s="23" t="s">
        <v>47</v>
      </c>
      <c r="D2" s="22" t="s">
        <v>48</v>
      </c>
      <c r="E2" s="8"/>
      <c r="F2" s="9"/>
    </row>
    <row r="3" ht="34" spans="1:6">
      <c r="A3" s="10" t="s">
        <v>49</v>
      </c>
      <c r="B3" s="11"/>
      <c r="C3" s="24" t="s">
        <v>50</v>
      </c>
      <c r="D3" s="22" t="s">
        <v>51</v>
      </c>
      <c r="E3" s="22"/>
      <c r="F3" s="23" t="s">
        <v>52</v>
      </c>
    </row>
    <row r="4" ht="18.5" customHeight="1" spans="1:6">
      <c r="A4" s="11"/>
      <c r="B4" s="22" t="s">
        <v>53</v>
      </c>
      <c r="C4" s="23" t="s">
        <v>54</v>
      </c>
      <c r="D4" s="25" t="s">
        <v>55</v>
      </c>
      <c r="E4" s="22">
        <v>2</v>
      </c>
      <c r="F4" s="23" t="s">
        <v>56</v>
      </c>
    </row>
    <row r="5" ht="37" customHeight="1" spans="1:6">
      <c r="A5" s="21">
        <v>3.25</v>
      </c>
      <c r="B5" s="11"/>
      <c r="C5" s="24" t="s">
        <v>57</v>
      </c>
      <c r="D5" s="10" t="s">
        <v>58</v>
      </c>
      <c r="E5" s="11"/>
      <c r="F5" s="13"/>
    </row>
    <row r="6" ht="33.5" customHeight="1" spans="1:6">
      <c r="A6" s="22" t="s">
        <v>59</v>
      </c>
      <c r="B6" s="22" t="s">
        <v>60</v>
      </c>
      <c r="C6" s="26" t="s">
        <v>61</v>
      </c>
      <c r="D6" s="25" t="s">
        <v>62</v>
      </c>
      <c r="E6" s="11">
        <v>2</v>
      </c>
      <c r="F6" s="13"/>
    </row>
    <row r="7" ht="21.5" customHeight="1" spans="1:6">
      <c r="A7" s="11"/>
      <c r="B7" s="11"/>
      <c r="C7" s="23" t="s">
        <v>63</v>
      </c>
      <c r="D7" s="15"/>
      <c r="E7" s="11">
        <v>1</v>
      </c>
      <c r="F7" s="13"/>
    </row>
    <row r="8" ht="32" customHeight="1" spans="1:6">
      <c r="A8" s="21">
        <v>4.1</v>
      </c>
      <c r="B8" s="11"/>
      <c r="C8" s="24" t="s">
        <v>64</v>
      </c>
      <c r="D8" s="22" t="s">
        <v>65</v>
      </c>
      <c r="E8" s="11"/>
      <c r="F8" s="13"/>
    </row>
    <row r="9" ht="32" customHeight="1" spans="1:6">
      <c r="A9" s="21">
        <v>4.15</v>
      </c>
      <c r="B9" s="22" t="s">
        <v>66</v>
      </c>
      <c r="C9" s="23" t="s">
        <v>67</v>
      </c>
      <c r="D9" s="22" t="s">
        <v>68</v>
      </c>
      <c r="E9" s="8"/>
      <c r="F9" s="9"/>
    </row>
    <row r="10" ht="20" customHeight="1" spans="1:6">
      <c r="A10" s="21">
        <v>4.3</v>
      </c>
      <c r="B10" s="22" t="s">
        <v>69</v>
      </c>
      <c r="C10" s="23" t="s">
        <v>70</v>
      </c>
      <c r="D10" s="25" t="s">
        <v>71</v>
      </c>
      <c r="E10" s="22">
        <v>1</v>
      </c>
      <c r="F10" s="23" t="s">
        <v>72</v>
      </c>
    </row>
    <row r="11" ht="51" spans="1:6">
      <c r="A11" s="11"/>
      <c r="B11" s="11"/>
      <c r="C11" s="17" t="s">
        <v>73</v>
      </c>
      <c r="D11" s="15"/>
      <c r="E11" s="18" t="s">
        <v>74</v>
      </c>
      <c r="F11" s="13"/>
    </row>
    <row r="12" ht="39" customHeight="1" spans="1:6">
      <c r="A12" s="22" t="s">
        <v>75</v>
      </c>
      <c r="B12" s="10" t="s">
        <v>76</v>
      </c>
      <c r="C12" s="17" t="s">
        <v>77</v>
      </c>
      <c r="D12" s="22" t="s">
        <v>78</v>
      </c>
      <c r="E12" s="19" t="s">
        <v>74</v>
      </c>
      <c r="F12" s="23" t="s">
        <v>79</v>
      </c>
    </row>
    <row r="13" ht="17" spans="1:6">
      <c r="D13" t="s">
        <v>80</v>
      </c>
      <c r="E13" s="2">
        <f>SUM(E2:E12)</f>
        <v>6</v>
      </c>
    </row>
  </sheetData>
  <mergeCells count="11">
    <mergeCell ref="A3:A4"/>
    <mergeCell ref="A6:A7"/>
    <mergeCell ref="A10:A11"/>
    <mergeCell ref="B2:B3"/>
    <mergeCell ref="B4:B5"/>
    <mergeCell ref="B6:B8"/>
    <mergeCell ref="B10:B11"/>
    <mergeCell ref="D6:D7"/>
    <mergeCell ref="D10:D11"/>
    <mergeCell ref="F4:F8"/>
    <mergeCell ref="F10:F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94" zoomScaleNormal="94" workbookViewId="0">
      <selection activeCell="D4" sqref="D4"/>
    </sheetView>
  </sheetViews>
  <sheetFormatPr defaultColWidth="9" defaultRowHeight="16.8" outlineLevelCol="6"/>
  <cols>
    <col min="1" max="1" width="9.671875" customWidth="1"/>
    <col min="2" max="2" width="16.40625" customWidth="1"/>
    <col min="3" max="3" width="48.203125" customWidth="1"/>
    <col min="4" max="4" width="20.328125" customWidth="1"/>
    <col min="5" max="5" width="6.09375" customWidth="1"/>
    <col min="6" max="6" width="11.7265625" style="2" customWidth="1"/>
    <col min="7" max="7" width="51.78125" customWidth="1"/>
  </cols>
  <sheetData>
    <row r="1" s="1" customFormat="1" ht="37" customHeight="1" spans="1:7">
      <c r="A1" s="3" t="s">
        <v>81</v>
      </c>
      <c r="B1" s="3" t="s">
        <v>82</v>
      </c>
      <c r="C1" s="3" t="s">
        <v>83</v>
      </c>
      <c r="D1" s="3" t="s">
        <v>84</v>
      </c>
      <c r="E1" s="4" t="s">
        <v>85</v>
      </c>
      <c r="F1" s="4" t="s">
        <v>86</v>
      </c>
      <c r="G1" s="3" t="s">
        <v>87</v>
      </c>
    </row>
    <row r="2" ht="50" customHeight="1" spans="1:7">
      <c r="A2" s="5">
        <v>3.09</v>
      </c>
      <c r="B2" s="6" t="s">
        <v>46</v>
      </c>
      <c r="C2" s="7" t="s">
        <v>47</v>
      </c>
      <c r="D2" s="6" t="s">
        <v>48</v>
      </c>
      <c r="E2" s="6"/>
      <c r="F2" s="8"/>
      <c r="G2" s="9"/>
    </row>
    <row r="3" ht="50" customHeight="1" spans="1:7">
      <c r="A3" s="10" t="s">
        <v>88</v>
      </c>
      <c r="B3" s="11"/>
      <c r="C3" s="7" t="s">
        <v>89</v>
      </c>
      <c r="D3" s="6" t="s">
        <v>51</v>
      </c>
      <c r="E3" s="6"/>
      <c r="F3" s="6"/>
      <c r="G3" s="7" t="s">
        <v>52</v>
      </c>
    </row>
    <row r="4" ht="50" customHeight="1" spans="1:7">
      <c r="A4" s="11"/>
      <c r="B4" s="6" t="s">
        <v>53</v>
      </c>
      <c r="C4" s="7" t="s">
        <v>54</v>
      </c>
      <c r="D4" s="12" t="s">
        <v>55</v>
      </c>
      <c r="E4" s="6"/>
      <c r="F4" s="6">
        <v>2</v>
      </c>
      <c r="G4" s="7" t="s">
        <v>56</v>
      </c>
    </row>
    <row r="5" ht="50" customHeight="1" spans="1:7">
      <c r="A5" s="5">
        <v>3.25</v>
      </c>
      <c r="B5" s="11"/>
      <c r="C5" s="7" t="s">
        <v>90</v>
      </c>
      <c r="D5" s="6" t="s">
        <v>65</v>
      </c>
      <c r="E5" s="6"/>
      <c r="F5" s="11"/>
      <c r="G5" s="13"/>
    </row>
    <row r="6" ht="50" customHeight="1" spans="1:7">
      <c r="A6" s="6" t="s">
        <v>59</v>
      </c>
      <c r="B6" s="6" t="s">
        <v>60</v>
      </c>
      <c r="C6" s="14" t="s">
        <v>61</v>
      </c>
      <c r="D6" s="12" t="s">
        <v>62</v>
      </c>
      <c r="E6" s="6"/>
      <c r="F6" s="11">
        <v>2</v>
      </c>
      <c r="G6" s="13"/>
    </row>
    <row r="7" ht="50" customHeight="1" spans="1:7">
      <c r="A7" s="11"/>
      <c r="B7" s="11"/>
      <c r="C7" s="7" t="s">
        <v>63</v>
      </c>
      <c r="D7" s="15"/>
      <c r="E7" s="6"/>
      <c r="F7" s="11">
        <v>1</v>
      </c>
      <c r="G7" s="13"/>
    </row>
    <row r="8" ht="50" customHeight="1" spans="1:7">
      <c r="A8" s="5">
        <v>4.1</v>
      </c>
      <c r="B8" s="11"/>
      <c r="C8" s="7" t="s">
        <v>91</v>
      </c>
      <c r="D8" s="6" t="s">
        <v>65</v>
      </c>
      <c r="E8" s="6"/>
      <c r="F8" s="11"/>
      <c r="G8" s="13"/>
    </row>
    <row r="9" ht="50" customHeight="1" spans="1:7">
      <c r="A9" s="5">
        <v>4.15</v>
      </c>
      <c r="B9" s="6" t="s">
        <v>66</v>
      </c>
      <c r="C9" s="7" t="s">
        <v>67</v>
      </c>
      <c r="D9" s="6" t="s">
        <v>68</v>
      </c>
      <c r="E9" s="6"/>
      <c r="F9" s="8"/>
      <c r="G9" s="9"/>
    </row>
    <row r="10" ht="50" customHeight="1" spans="1:7">
      <c r="A10" s="5">
        <v>4.3</v>
      </c>
      <c r="B10" s="6" t="s">
        <v>69</v>
      </c>
      <c r="C10" s="7" t="s">
        <v>70</v>
      </c>
      <c r="D10" s="12" t="s">
        <v>71</v>
      </c>
      <c r="E10" s="6"/>
      <c r="F10" s="6">
        <v>1</v>
      </c>
      <c r="G10" s="16" t="s">
        <v>92</v>
      </c>
    </row>
    <row r="11" ht="50" customHeight="1" spans="1:7">
      <c r="A11" s="11"/>
      <c r="B11" s="11"/>
      <c r="C11" s="17" t="s">
        <v>73</v>
      </c>
      <c r="D11" s="15"/>
      <c r="E11" s="6"/>
      <c r="F11" s="18" t="s">
        <v>74</v>
      </c>
      <c r="G11" s="13"/>
    </row>
    <row r="12" ht="50" customHeight="1" spans="1:7">
      <c r="A12" s="6" t="s">
        <v>75</v>
      </c>
      <c r="B12" s="10" t="s">
        <v>76</v>
      </c>
      <c r="C12" s="17" t="s">
        <v>77</v>
      </c>
      <c r="D12" s="6" t="s">
        <v>78</v>
      </c>
      <c r="E12" s="6"/>
      <c r="F12" s="19" t="s">
        <v>74</v>
      </c>
      <c r="G12" s="7" t="s">
        <v>79</v>
      </c>
    </row>
    <row r="13" ht="17" spans="1:7">
      <c r="D13" t="s">
        <v>80</v>
      </c>
      <c r="F13" s="2">
        <f>SUM(F2:F12)</f>
        <v>6</v>
      </c>
    </row>
  </sheetData>
  <mergeCells count="11">
    <mergeCell ref="A3:A4"/>
    <mergeCell ref="A6:A7"/>
    <mergeCell ref="A10:A11"/>
    <mergeCell ref="B2:B3"/>
    <mergeCell ref="B4:B5"/>
    <mergeCell ref="B6:B8"/>
    <mergeCell ref="B10:B11"/>
    <mergeCell ref="D6:D7"/>
    <mergeCell ref="D10:D11"/>
    <mergeCell ref="G4:G8"/>
    <mergeCell ref="G10:G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kjonekong</cp:lastModifiedBy>
  <dcterms:created xsi:type="dcterms:W3CDTF">2026-03-06T14:54:00Z</dcterms:created>
  <dcterms:modified xsi:type="dcterms:W3CDTF">2026-03-12T17:04:59Z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2026-03-06T06:54:11Z</vt:filetime>
  </property>
  <property fmtid="{D5CDD505-2E9C-101B-9397-08002B2CF9AE}" pid="4" name="UsrData">
    <vt:lpwstr>69a9991163149100200ab060wl</vt:lpwstr>
  </property>
  <property fmtid="{D5CDD505-2E9C-101B-9397-08002B2CF9AE}" pid="5" name="KSOProductBuildVer">
    <vt:lpwstr>2052-12.1.24031.24031</vt:lpwstr>
  </property>
  <property fmtid="{D5CDD505-2E9C-101B-9397-08002B2CF9AE}" pid="6" name="CalculationRule">
    <vt:i4>0</vt:i4>
  </property>
  <property fmtid="{D5CDD505-2E9C-101B-9397-08002B2CF9AE}" pid="7" name="ICV">
    <vt:lpwstr>6AA1BA4D3942A9BCBB81B2690C57F3CC_43</vt:lpwstr>
  </property>
</Properties>
</file>